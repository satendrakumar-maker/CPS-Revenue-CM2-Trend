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en\Documents\kimi\workspace\CPS_OEM_Dashboard\"/>
    </mc:Choice>
  </mc:AlternateContent>
  <xr:revisionPtr revIDLastSave="0" documentId="13_ncr:1_{50AC2DD2-CDED-4BCF-8E28-ED4A181BF006}" xr6:coauthVersionLast="47" xr6:coauthVersionMax="47" xr10:uidLastSave="{00000000-0000-0000-0000-000000000000}"/>
  <bookViews>
    <workbookView xWindow="5760" yWindow="3360" windowWidth="17280" windowHeight="8880" xr2:uid="{EDADC1A1-8BB4-4734-ABD4-05750D6A8A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18" i="1" l="1"/>
  <c r="AR17" i="1"/>
  <c r="AR16" i="1"/>
  <c r="AR15" i="1"/>
  <c r="AR14" i="1"/>
  <c r="AR13" i="1"/>
  <c r="AR12" i="1"/>
  <c r="AR11" i="1"/>
  <c r="AR10" i="1"/>
  <c r="AR9" i="1"/>
  <c r="AR8" i="1"/>
  <c r="AR7" i="1"/>
  <c r="AR6" i="1"/>
  <c r="AR5" i="1"/>
  <c r="AR4" i="1"/>
  <c r="AT18" i="1"/>
  <c r="AU18" i="1" s="1"/>
  <c r="AS18" i="1"/>
  <c r="AT17" i="1"/>
  <c r="AU17" i="1" s="1"/>
  <c r="AS17" i="1"/>
  <c r="AT16" i="1"/>
  <c r="AU16" i="1" s="1"/>
  <c r="AS16" i="1"/>
  <c r="AT15" i="1"/>
  <c r="AU15" i="1" s="1"/>
  <c r="AS15" i="1"/>
  <c r="AT14" i="1"/>
  <c r="AU14" i="1" s="1"/>
  <c r="AS14" i="1"/>
  <c r="AT13" i="1"/>
  <c r="AU13" i="1" s="1"/>
  <c r="AS13" i="1"/>
  <c r="AT12" i="1"/>
  <c r="AU12" i="1" s="1"/>
  <c r="AS12" i="1"/>
  <c r="AT11" i="1"/>
  <c r="AU11" i="1" s="1"/>
  <c r="AS11" i="1"/>
  <c r="AT10" i="1"/>
  <c r="AU10" i="1" s="1"/>
  <c r="AS10" i="1"/>
  <c r="AT9" i="1"/>
  <c r="AU9" i="1" s="1"/>
  <c r="AS9" i="1"/>
  <c r="AT8" i="1"/>
  <c r="AU8" i="1" s="1"/>
  <c r="AS8" i="1"/>
  <c r="AT7" i="1"/>
  <c r="AU7" i="1" s="1"/>
  <c r="AS7" i="1"/>
  <c r="AT6" i="1"/>
  <c r="AU6" i="1" s="1"/>
  <c r="AS6" i="1"/>
  <c r="AT5" i="1"/>
  <c r="AU5" i="1" s="1"/>
  <c r="AS5" i="1"/>
  <c r="AT4" i="1"/>
  <c r="AU4" i="1" s="1"/>
  <c r="AS4" i="1"/>
  <c r="AP18" i="1"/>
  <c r="AO18" i="1"/>
  <c r="AN18" i="1"/>
  <c r="AP17" i="1"/>
  <c r="AO17" i="1"/>
  <c r="AN17" i="1"/>
  <c r="AP16" i="1"/>
  <c r="AO16" i="1"/>
  <c r="AN16" i="1"/>
  <c r="AP15" i="1"/>
  <c r="AO15" i="1"/>
  <c r="AN15" i="1"/>
  <c r="AP14" i="1"/>
  <c r="AO14" i="1"/>
  <c r="AN14" i="1"/>
  <c r="AP13" i="1"/>
  <c r="AO13" i="1"/>
  <c r="AN13" i="1"/>
  <c r="AP12" i="1"/>
  <c r="AO12" i="1"/>
  <c r="AN12" i="1"/>
  <c r="AP11" i="1"/>
  <c r="AO11" i="1"/>
  <c r="AN11" i="1"/>
  <c r="AP10" i="1"/>
  <c r="AO10" i="1"/>
  <c r="AN10" i="1"/>
  <c r="AP9" i="1"/>
  <c r="AO9" i="1"/>
  <c r="AN9" i="1"/>
  <c r="AP8" i="1"/>
  <c r="AO8" i="1"/>
  <c r="AN8" i="1"/>
  <c r="AP7" i="1"/>
  <c r="AO7" i="1"/>
  <c r="AN7" i="1"/>
  <c r="AP6" i="1"/>
  <c r="AO6" i="1"/>
  <c r="AN6" i="1"/>
  <c r="AP5" i="1"/>
  <c r="AO5" i="1"/>
  <c r="AN5" i="1"/>
  <c r="AP4" i="1"/>
  <c r="AO4" i="1"/>
  <c r="AN4" i="1"/>
  <c r="AQ18" i="1"/>
  <c r="AQ17" i="1"/>
  <c r="AQ16" i="1"/>
  <c r="AQ15" i="1"/>
  <c r="AQ14" i="1"/>
  <c r="AQ13" i="1"/>
  <c r="AQ12" i="1"/>
  <c r="AQ11" i="1"/>
  <c r="AQ10" i="1"/>
  <c r="AQ9" i="1"/>
  <c r="AQ8" i="1"/>
  <c r="AQ7" i="1"/>
  <c r="AQ6" i="1"/>
  <c r="AQ5" i="1"/>
  <c r="AQ4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M5" i="1"/>
  <c r="AM4" i="1"/>
  <c r="AL18" i="1"/>
  <c r="AL17" i="1"/>
  <c r="AL16" i="1"/>
  <c r="AL15" i="1"/>
  <c r="AL14" i="1"/>
  <c r="AL13" i="1"/>
  <c r="AL12" i="1"/>
  <c r="AL11" i="1"/>
  <c r="AL10" i="1"/>
  <c r="AL9" i="1"/>
  <c r="AL8" i="1"/>
  <c r="AL7" i="1"/>
  <c r="AL6" i="1"/>
  <c r="AL5" i="1"/>
  <c r="AL4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K5" i="1"/>
  <c r="AK4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J5" i="1"/>
  <c r="AJ4" i="1"/>
  <c r="AF18" i="1"/>
  <c r="AF17" i="1"/>
  <c r="AF16" i="1"/>
</calcChain>
</file>

<file path=xl/sharedStrings.xml><?xml version="1.0" encoding="utf-8"?>
<sst xmlns="http://schemas.openxmlformats.org/spreadsheetml/2006/main" count="72" uniqueCount="19">
  <si>
    <t>Bajaj ( Incl. KTM &amp; TRM)</t>
  </si>
  <si>
    <t>Chetak Only</t>
  </si>
  <si>
    <t>Ather</t>
  </si>
  <si>
    <t>OLA Only CPS</t>
  </si>
  <si>
    <t>TVS: All</t>
  </si>
  <si>
    <t>Revolt</t>
  </si>
  <si>
    <t>Jawa (incl. Manpower)</t>
  </si>
  <si>
    <t>TVS:Only Iqube</t>
  </si>
  <si>
    <t>Billing Month</t>
  </si>
  <si>
    <t>Revenue</t>
  </si>
  <si>
    <t>Retail Count</t>
  </si>
  <si>
    <t>CM2</t>
  </si>
  <si>
    <t>CM2 %</t>
  </si>
  <si>
    <t>TVS:ICE Only</t>
  </si>
  <si>
    <t>TVS:Bajaj+Chetak</t>
  </si>
  <si>
    <t>Overall</t>
  </si>
  <si>
    <t>FY Year</t>
  </si>
  <si>
    <t>FY 25 26</t>
  </si>
  <si>
    <t>FY 26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</si>
</sst>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#,##0;[Red]\(#,###\)"/>
    <numFmt numFmtId="166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4" xfId="0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7" fontId="0" fillId="0" borderId="7" xfId="0" applyNumberFormat="1" applyBorder="1"/>
    <xf numFmtId="164" fontId="0" fillId="0" borderId="1" xfId="1" applyNumberFormat="1" applyFont="1" applyBorder="1"/>
    <xf numFmtId="164" fontId="0" fillId="0" borderId="2" xfId="1" applyNumberFormat="1" applyFont="1" applyBorder="1"/>
    <xf numFmtId="165" fontId="0" fillId="0" borderId="2" xfId="1" applyNumberFormat="1" applyFont="1" applyBorder="1"/>
    <xf numFmtId="166" fontId="0" fillId="0" borderId="3" xfId="2" applyNumberFormat="1" applyFont="1" applyBorder="1"/>
    <xf numFmtId="3" fontId="0" fillId="0" borderId="2" xfId="1" applyNumberFormat="1" applyFont="1" applyBorder="1"/>
    <xf numFmtId="164" fontId="0" fillId="0" borderId="7" xfId="1" applyNumberFormat="1" applyFont="1" applyBorder="1"/>
    <xf numFmtId="164" fontId="0" fillId="0" borderId="0" xfId="1" applyNumberFormat="1" applyFont="1" applyBorder="1"/>
    <xf numFmtId="165" fontId="0" fillId="0" borderId="0" xfId="1" applyNumberFormat="1" applyFont="1" applyBorder="1"/>
    <xf numFmtId="166" fontId="0" fillId="0" borderId="8" xfId="2" applyNumberFormat="1" applyFont="1" applyBorder="1"/>
    <xf numFmtId="3" fontId="0" fillId="0" borderId="0" xfId="1" applyNumberFormat="1" applyFont="1" applyBorder="1"/>
    <xf numFmtId="17" fontId="0" fillId="0" borderId="9" xfId="0" applyNumberFormat="1" applyBorder="1"/>
    <xf numFmtId="164" fontId="0" fillId="0" borderId="9" xfId="1" applyNumberFormat="1" applyFont="1" applyBorder="1"/>
    <xf numFmtId="164" fontId="0" fillId="0" borderId="10" xfId="1" applyNumberFormat="1" applyFont="1" applyBorder="1"/>
    <xf numFmtId="165" fontId="0" fillId="0" borderId="10" xfId="1" applyNumberFormat="1" applyFont="1" applyBorder="1"/>
    <xf numFmtId="166" fontId="0" fillId="0" borderId="11" xfId="2" applyNumberFormat="1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AEAE1-3A10-4937-AB30-78999D6DDEA1}">
  <dimension ref="B1:AU18"/>
  <sheetViews>
    <sheetView tabSelected="1" topLeftCell="AB3" zoomScale="80" zoomScaleNormal="80" workbookViewId="0">
      <selection activeCell="AU18" sqref="AU18"/>
    </sheetView>
  </sheetViews>
  <sheetFormatPr defaultRowHeight="14.4" x14ac:dyDescent="0.3"/>
  <cols>
    <col min="3" max="3" width="12.44140625" bestFit="1" customWidth="1"/>
    <col min="4" max="4" width="9.77734375" bestFit="1" customWidth="1"/>
    <col min="5" max="5" width="11.5546875" bestFit="1" customWidth="1"/>
    <col min="6" max="6" width="9.33203125" bestFit="1" customWidth="1"/>
    <col min="7" max="7" width="6.77734375" bestFit="1" customWidth="1"/>
    <col min="8" max="8" width="9.77734375" bestFit="1" customWidth="1"/>
    <col min="9" max="9" width="11.5546875" bestFit="1" customWidth="1"/>
    <col min="10" max="10" width="7.88671875" bestFit="1" customWidth="1"/>
    <col min="11" max="11" width="6.77734375" bestFit="1" customWidth="1"/>
    <col min="12" max="12" width="9.77734375" bestFit="1" customWidth="1"/>
    <col min="13" max="13" width="11.5546875" bestFit="1" customWidth="1"/>
    <col min="15" max="15" width="6.77734375" bestFit="1" customWidth="1"/>
    <col min="16" max="16" width="8.77734375" bestFit="1" customWidth="1"/>
    <col min="17" max="17" width="11.5546875" bestFit="1" customWidth="1"/>
    <col min="18" max="18" width="9.33203125" bestFit="1" customWidth="1"/>
    <col min="19" max="19" width="7.6640625" bestFit="1" customWidth="1"/>
    <col min="20" max="20" width="11.21875" bestFit="1" customWidth="1"/>
    <col min="21" max="21" width="11.5546875" bestFit="1" customWidth="1"/>
    <col min="23" max="23" width="7.88671875" bestFit="1" customWidth="1"/>
    <col min="24" max="24" width="8.77734375" bestFit="1" customWidth="1"/>
    <col min="25" max="25" width="11.5546875" bestFit="1" customWidth="1"/>
    <col min="26" max="26" width="7.88671875" bestFit="1" customWidth="1"/>
    <col min="27" max="27" width="6.77734375" bestFit="1" customWidth="1"/>
    <col min="28" max="28" width="8.77734375" bestFit="1" customWidth="1"/>
    <col min="29" max="29" width="11.5546875" bestFit="1" customWidth="1"/>
    <col min="30" max="30" width="7.88671875" bestFit="1" customWidth="1"/>
    <col min="31" max="31" width="6.77734375" bestFit="1" customWidth="1"/>
    <col min="32" max="32" width="9.77734375" bestFit="1" customWidth="1"/>
    <col min="33" max="33" width="11.5546875" bestFit="1" customWidth="1"/>
    <col min="34" max="34" width="7.88671875" bestFit="1" customWidth="1"/>
    <col min="35" max="35" width="6.77734375" bestFit="1" customWidth="1"/>
    <col min="36" max="36" width="11.21875" bestFit="1" customWidth="1"/>
    <col min="37" max="37" width="11.5546875" bestFit="1" customWidth="1"/>
    <col min="38" max="38" width="8.88671875" bestFit="1" customWidth="1"/>
    <col min="39" max="39" width="6.77734375" bestFit="1" customWidth="1"/>
    <col min="40" max="40" width="11.88671875" bestFit="1" customWidth="1"/>
    <col min="41" max="41" width="11.5546875" bestFit="1" customWidth="1"/>
    <col min="42" max="42" width="10.21875" bestFit="1" customWidth="1"/>
    <col min="43" max="43" width="6.77734375" bestFit="1" customWidth="1"/>
    <col min="44" max="44" width="11.21875" bestFit="1" customWidth="1"/>
    <col min="45" max="45" width="11.5546875" bestFit="1" customWidth="1"/>
    <col min="47" max="47" width="6.77734375" bestFit="1" customWidth="1"/>
  </cols>
  <sheetData>
    <row r="1" spans="2:47" ht="15" thickBot="1" x14ac:dyDescent="0.35"/>
    <row r="2" spans="2:47" ht="15" thickBot="1" x14ac:dyDescent="0.35">
      <c r="D2" s="23" t="s">
        <v>0</v>
      </c>
      <c r="E2" s="21"/>
      <c r="F2" s="21"/>
      <c r="G2" s="22"/>
      <c r="H2" s="23" t="s">
        <v>1</v>
      </c>
      <c r="I2" s="21"/>
      <c r="J2" s="21"/>
      <c r="K2" s="22"/>
      <c r="L2" s="23" t="s">
        <v>2</v>
      </c>
      <c r="M2" s="21"/>
      <c r="N2" s="21"/>
      <c r="O2" s="22"/>
      <c r="P2" s="23" t="s">
        <v>3</v>
      </c>
      <c r="Q2" s="21"/>
      <c r="R2" s="21"/>
      <c r="S2" s="22"/>
      <c r="T2" s="23" t="s">
        <v>4</v>
      </c>
      <c r="U2" s="21"/>
      <c r="V2" s="21"/>
      <c r="W2" s="22"/>
      <c r="X2" s="23" t="s">
        <v>5</v>
      </c>
      <c r="Y2" s="21"/>
      <c r="Z2" s="21"/>
      <c r="AA2" s="22"/>
      <c r="AB2" s="21" t="s">
        <v>6</v>
      </c>
      <c r="AC2" s="21"/>
      <c r="AD2" s="21"/>
      <c r="AE2" s="22"/>
      <c r="AF2" s="21" t="s">
        <v>7</v>
      </c>
      <c r="AG2" s="21"/>
      <c r="AH2" s="21"/>
      <c r="AI2" s="22"/>
      <c r="AJ2" s="21" t="s">
        <v>13</v>
      </c>
      <c r="AK2" s="21"/>
      <c r="AL2" s="21"/>
      <c r="AM2" s="22"/>
      <c r="AN2" s="21" t="s">
        <v>14</v>
      </c>
      <c r="AO2" s="21"/>
      <c r="AP2" s="21"/>
      <c r="AQ2" s="22"/>
      <c r="AR2" s="21" t="s">
        <v>15</v>
      </c>
      <c r="AS2" s="21"/>
      <c r="AT2" s="21"/>
      <c r="AU2" s="22"/>
    </row>
    <row r="3" spans="2:47" ht="15" thickBot="1" x14ac:dyDescent="0.35">
      <c r="B3" t="s">
        <v>16</v>
      </c>
      <c r="C3" s="1" t="s">
        <v>8</v>
      </c>
      <c r="D3" s="2" t="s">
        <v>9</v>
      </c>
      <c r="E3" s="3" t="s">
        <v>10</v>
      </c>
      <c r="F3" s="3" t="s">
        <v>11</v>
      </c>
      <c r="G3" s="4" t="s">
        <v>12</v>
      </c>
      <c r="H3" s="2" t="s">
        <v>9</v>
      </c>
      <c r="I3" s="3" t="s">
        <v>10</v>
      </c>
      <c r="J3" s="3" t="s">
        <v>11</v>
      </c>
      <c r="K3" s="4" t="s">
        <v>12</v>
      </c>
      <c r="L3" s="2" t="s">
        <v>9</v>
      </c>
      <c r="M3" s="3" t="s">
        <v>10</v>
      </c>
      <c r="N3" s="3" t="s">
        <v>11</v>
      </c>
      <c r="O3" s="4" t="s">
        <v>12</v>
      </c>
      <c r="P3" s="2" t="s">
        <v>9</v>
      </c>
      <c r="Q3" s="3" t="s">
        <v>10</v>
      </c>
      <c r="R3" s="3" t="s">
        <v>11</v>
      </c>
      <c r="S3" s="4" t="s">
        <v>12</v>
      </c>
      <c r="T3" s="2" t="s">
        <v>9</v>
      </c>
      <c r="U3" s="3" t="s">
        <v>10</v>
      </c>
      <c r="V3" s="3" t="s">
        <v>11</v>
      </c>
      <c r="W3" s="4" t="s">
        <v>12</v>
      </c>
      <c r="X3" s="2" t="s">
        <v>9</v>
      </c>
      <c r="Y3" s="3" t="s">
        <v>10</v>
      </c>
      <c r="Z3" s="3" t="s">
        <v>11</v>
      </c>
      <c r="AA3" s="4" t="s">
        <v>12</v>
      </c>
      <c r="AB3" s="3" t="s">
        <v>9</v>
      </c>
      <c r="AC3" s="3" t="s">
        <v>10</v>
      </c>
      <c r="AD3" s="3" t="s">
        <v>11</v>
      </c>
      <c r="AE3" s="4" t="s">
        <v>12</v>
      </c>
      <c r="AF3" s="3" t="s">
        <v>9</v>
      </c>
      <c r="AG3" s="3" t="s">
        <v>10</v>
      </c>
      <c r="AH3" s="3" t="s">
        <v>11</v>
      </c>
      <c r="AI3" s="4" t="s">
        <v>12</v>
      </c>
      <c r="AJ3" s="3" t="s">
        <v>9</v>
      </c>
      <c r="AK3" s="3" t="s">
        <v>10</v>
      </c>
      <c r="AL3" s="3" t="s">
        <v>11</v>
      </c>
      <c r="AM3" s="4" t="s">
        <v>12</v>
      </c>
      <c r="AN3" s="3" t="s">
        <v>9</v>
      </c>
      <c r="AO3" s="3" t="s">
        <v>10</v>
      </c>
      <c r="AP3" s="3" t="s">
        <v>11</v>
      </c>
      <c r="AQ3" s="4" t="s">
        <v>12</v>
      </c>
      <c r="AR3" s="3" t="s">
        <v>9</v>
      </c>
      <c r="AS3" s="3" t="s">
        <v>10</v>
      </c>
      <c r="AT3" s="3" t="s">
        <v>11</v>
      </c>
      <c r="AU3" s="4" t="s">
        <v>12</v>
      </c>
    </row>
    <row r="4" spans="2:47" x14ac:dyDescent="0.3">
      <c r="B4" t="s">
        <v>17</v>
      </c>
      <c r="C4" s="5">
        <v>45748</v>
      </c>
      <c r="D4" s="6">
        <v>1035000</v>
      </c>
      <c r="E4" s="7">
        <v>754</v>
      </c>
      <c r="F4" s="8">
        <v>89092</v>
      </c>
      <c r="G4" s="9">
        <v>8.6079227053140098E-2</v>
      </c>
      <c r="H4" s="6">
        <v>546000</v>
      </c>
      <c r="I4" s="7">
        <v>273</v>
      </c>
      <c r="J4" s="8">
        <v>45524</v>
      </c>
      <c r="K4" s="9">
        <v>8.3377289377289374E-2</v>
      </c>
      <c r="L4" s="6">
        <v>321930</v>
      </c>
      <c r="M4" s="7">
        <v>120</v>
      </c>
      <c r="N4" s="8">
        <v>4390</v>
      </c>
      <c r="O4" s="9">
        <v>1.3636504830242599E-2</v>
      </c>
      <c r="P4" s="6">
        <v>527925</v>
      </c>
      <c r="Q4" s="7">
        <v>404</v>
      </c>
      <c r="R4" s="8">
        <v>-72086</v>
      </c>
      <c r="S4" s="9">
        <v>-0.13654591087749207</v>
      </c>
      <c r="T4" s="6">
        <v>6177330</v>
      </c>
      <c r="U4" s="7">
        <v>9018</v>
      </c>
      <c r="V4" s="8">
        <v>2310218</v>
      </c>
      <c r="W4" s="9">
        <v>0.37398325813903416</v>
      </c>
      <c r="X4" s="6"/>
      <c r="Y4" s="7"/>
      <c r="Z4" s="8"/>
      <c r="AA4" s="9"/>
      <c r="AB4" s="6"/>
      <c r="AC4" s="7"/>
      <c r="AD4" s="8"/>
      <c r="AE4" s="9"/>
      <c r="AF4" s="6">
        <v>584305</v>
      </c>
      <c r="AG4" s="7">
        <v>853</v>
      </c>
      <c r="AH4" s="10">
        <v>517800</v>
      </c>
      <c r="AI4" s="9">
        <v>0.88619999999999999</v>
      </c>
      <c r="AJ4" s="6">
        <f>T4-AF4</f>
        <v>5593025</v>
      </c>
      <c r="AK4" s="7">
        <f>U4-AG4</f>
        <v>8165</v>
      </c>
      <c r="AL4" s="10">
        <f>V4-AH4</f>
        <v>1792418</v>
      </c>
      <c r="AM4" s="9">
        <f>AL4/AJ4</f>
        <v>0.3204738044260485</v>
      </c>
      <c r="AN4" s="6">
        <f>D4+H4</f>
        <v>1581000</v>
      </c>
      <c r="AO4" s="7">
        <f t="shared" ref="AO4:AO18" si="0">E4+I4</f>
        <v>1027</v>
      </c>
      <c r="AP4" s="10">
        <f t="shared" ref="AP4:AP18" si="1">F4+J4</f>
        <v>134616</v>
      </c>
      <c r="AQ4" s="9">
        <f>AP4/AN4</f>
        <v>8.5146110056926003E-2</v>
      </c>
      <c r="AR4" s="6">
        <f>D4+H4+L4+P4+T4+X4+AB4</f>
        <v>8608185</v>
      </c>
      <c r="AS4" s="7">
        <f t="shared" ref="AS4:AS18" si="2">I4+M4</f>
        <v>393</v>
      </c>
      <c r="AT4" s="10">
        <f t="shared" ref="AT4:AT18" si="3">J4+N4</f>
        <v>49914</v>
      </c>
      <c r="AU4" s="9">
        <f>AT4/AR4</f>
        <v>5.7984348617042963E-3</v>
      </c>
    </row>
    <row r="5" spans="2:47" x14ac:dyDescent="0.3">
      <c r="B5" t="s">
        <v>17</v>
      </c>
      <c r="C5" s="5">
        <v>45778</v>
      </c>
      <c r="D5" s="11">
        <v>1027000</v>
      </c>
      <c r="E5" s="12">
        <v>782</v>
      </c>
      <c r="F5" s="13">
        <v>-166234</v>
      </c>
      <c r="G5" s="14">
        <v>-0.1618636806231743</v>
      </c>
      <c r="H5" s="11">
        <v>556000</v>
      </c>
      <c r="I5" s="12">
        <v>278</v>
      </c>
      <c r="J5" s="13">
        <v>169521</v>
      </c>
      <c r="K5" s="14">
        <v>0.30489388489208635</v>
      </c>
      <c r="L5" s="11">
        <v>871828</v>
      </c>
      <c r="M5" s="12">
        <v>333</v>
      </c>
      <c r="N5" s="13">
        <v>54685</v>
      </c>
      <c r="O5" s="14">
        <v>6.2724528232633039E-2</v>
      </c>
      <c r="P5" s="11">
        <v>762814</v>
      </c>
      <c r="Q5" s="12">
        <v>427</v>
      </c>
      <c r="R5" s="13">
        <v>214074</v>
      </c>
      <c r="S5" s="14">
        <v>0.28063721955810983</v>
      </c>
      <c r="T5" s="11">
        <v>5829350</v>
      </c>
      <c r="U5" s="12">
        <v>8510</v>
      </c>
      <c r="V5" s="13">
        <v>1016648</v>
      </c>
      <c r="W5" s="14">
        <v>0.17440160566787036</v>
      </c>
      <c r="X5" s="11"/>
      <c r="Y5" s="12"/>
      <c r="Z5" s="13"/>
      <c r="AA5" s="14"/>
      <c r="AB5" s="11"/>
      <c r="AC5" s="12"/>
      <c r="AD5" s="13"/>
      <c r="AE5" s="14"/>
      <c r="AF5" s="11">
        <v>557590</v>
      </c>
      <c r="AG5" s="12">
        <v>814</v>
      </c>
      <c r="AH5" s="15">
        <v>492220</v>
      </c>
      <c r="AI5" s="14">
        <v>0.88280000000000003</v>
      </c>
      <c r="AJ5" s="11">
        <f t="shared" ref="AJ5:AJ18" si="4">T5-AF5</f>
        <v>5271760</v>
      </c>
      <c r="AK5" s="12">
        <f t="shared" ref="AK5:AK18" si="5">U5-AG5</f>
        <v>7696</v>
      </c>
      <c r="AL5" s="15">
        <f t="shared" ref="AL5:AL18" si="6">V5-AH5</f>
        <v>524428</v>
      </c>
      <c r="AM5" s="14">
        <f t="shared" ref="AM5:AM18" si="7">AL5/AJ5</f>
        <v>9.9478731960483791E-2</v>
      </c>
      <c r="AN5" s="11">
        <f t="shared" ref="AN5:AN18" si="8">D5+H5</f>
        <v>1583000</v>
      </c>
      <c r="AO5" s="12">
        <f t="shared" si="0"/>
        <v>1060</v>
      </c>
      <c r="AP5" s="15">
        <f t="shared" si="1"/>
        <v>3287</v>
      </c>
      <c r="AQ5" s="14">
        <f t="shared" ref="AQ5:AQ18" si="9">AP5/AN5</f>
        <v>2.0764371446620341E-3</v>
      </c>
      <c r="AR5" s="11">
        <f t="shared" ref="AR5:AR18" si="10">D5+H5+L5+P5+T5+X5+AB5</f>
        <v>9046992</v>
      </c>
      <c r="AS5" s="12">
        <f t="shared" si="2"/>
        <v>611</v>
      </c>
      <c r="AT5" s="15">
        <f t="shared" si="3"/>
        <v>224206</v>
      </c>
      <c r="AU5" s="14">
        <f t="shared" ref="AU5:AU18" si="11">AT5/AR5</f>
        <v>2.4782380707311338E-2</v>
      </c>
    </row>
    <row r="6" spans="2:47" x14ac:dyDescent="0.3">
      <c r="B6" t="s">
        <v>17</v>
      </c>
      <c r="C6" s="5">
        <v>45809</v>
      </c>
      <c r="D6" s="11">
        <v>1154800</v>
      </c>
      <c r="E6" s="12">
        <v>921</v>
      </c>
      <c r="F6" s="13">
        <v>-497640</v>
      </c>
      <c r="G6" s="14">
        <v>-0.43093176307585729</v>
      </c>
      <c r="H6" s="11">
        <v>630000</v>
      </c>
      <c r="I6" s="12">
        <v>315</v>
      </c>
      <c r="J6" s="13">
        <v>175131</v>
      </c>
      <c r="K6" s="14">
        <v>0.27798571428571428</v>
      </c>
      <c r="L6" s="11">
        <v>1108713</v>
      </c>
      <c r="M6" s="12">
        <v>427</v>
      </c>
      <c r="N6" s="13">
        <v>288020</v>
      </c>
      <c r="O6" s="14">
        <v>0.25977868032574708</v>
      </c>
      <c r="P6" s="11">
        <v>757936</v>
      </c>
      <c r="Q6" s="12">
        <v>390</v>
      </c>
      <c r="R6" s="13">
        <v>282005</v>
      </c>
      <c r="S6" s="14">
        <v>0.37206967342889108</v>
      </c>
      <c r="T6" s="11">
        <v>6186235</v>
      </c>
      <c r="U6" s="12">
        <v>9031</v>
      </c>
      <c r="V6" s="13">
        <v>390316</v>
      </c>
      <c r="W6" s="14">
        <v>6.3094273010967095E-2</v>
      </c>
      <c r="X6" s="11"/>
      <c r="Y6" s="12"/>
      <c r="Z6" s="13"/>
      <c r="AA6" s="14"/>
      <c r="AB6" s="11"/>
      <c r="AC6" s="12"/>
      <c r="AD6" s="13"/>
      <c r="AE6" s="14"/>
      <c r="AF6" s="11">
        <v>724045</v>
      </c>
      <c r="AG6" s="12">
        <v>1057</v>
      </c>
      <c r="AH6" s="15">
        <v>684265</v>
      </c>
      <c r="AI6" s="14">
        <v>0.94510000000000005</v>
      </c>
      <c r="AJ6" s="11">
        <f t="shared" si="4"/>
        <v>5462190</v>
      </c>
      <c r="AK6" s="12">
        <f t="shared" si="5"/>
        <v>7974</v>
      </c>
      <c r="AL6" s="15">
        <f t="shared" si="6"/>
        <v>-293949</v>
      </c>
      <c r="AM6" s="14">
        <f t="shared" si="7"/>
        <v>-5.381522795801684E-2</v>
      </c>
      <c r="AN6" s="11">
        <f t="shared" si="8"/>
        <v>1784800</v>
      </c>
      <c r="AO6" s="12">
        <f t="shared" si="0"/>
        <v>1236</v>
      </c>
      <c r="AP6" s="15">
        <f t="shared" si="1"/>
        <v>-322509</v>
      </c>
      <c r="AQ6" s="14">
        <f t="shared" si="9"/>
        <v>-0.18069755714926042</v>
      </c>
      <c r="AR6" s="11">
        <f t="shared" si="10"/>
        <v>9837684</v>
      </c>
      <c r="AS6" s="12">
        <f t="shared" si="2"/>
        <v>742</v>
      </c>
      <c r="AT6" s="15">
        <f t="shared" si="3"/>
        <v>463151</v>
      </c>
      <c r="AU6" s="14">
        <f t="shared" si="11"/>
        <v>4.7079271909933273E-2</v>
      </c>
    </row>
    <row r="7" spans="2:47" x14ac:dyDescent="0.3">
      <c r="B7" t="s">
        <v>17</v>
      </c>
      <c r="C7" s="5">
        <v>45839</v>
      </c>
      <c r="D7" s="11">
        <v>1133600</v>
      </c>
      <c r="E7" s="12">
        <v>905</v>
      </c>
      <c r="F7" s="13">
        <v>-452368</v>
      </c>
      <c r="G7" s="14">
        <v>-0.39905434015525759</v>
      </c>
      <c r="H7" s="11">
        <v>562000</v>
      </c>
      <c r="I7" s="12">
        <v>281</v>
      </c>
      <c r="J7" s="13">
        <v>-39640</v>
      </c>
      <c r="K7" s="14">
        <v>-7.0533807829181491E-2</v>
      </c>
      <c r="L7" s="11">
        <v>1345413</v>
      </c>
      <c r="M7" s="12">
        <v>520</v>
      </c>
      <c r="N7" s="13">
        <v>493858</v>
      </c>
      <c r="O7" s="14">
        <v>0.3670679560848602</v>
      </c>
      <c r="P7" s="11">
        <v>667651</v>
      </c>
      <c r="Q7" s="12">
        <v>375</v>
      </c>
      <c r="R7" s="13">
        <v>40529</v>
      </c>
      <c r="S7" s="14">
        <v>6.0703870734859978E-2</v>
      </c>
      <c r="T7" s="11">
        <v>5717010</v>
      </c>
      <c r="U7" s="12">
        <v>8346</v>
      </c>
      <c r="V7" s="13">
        <v>525596</v>
      </c>
      <c r="W7" s="14">
        <v>9.193546976478964E-2</v>
      </c>
      <c r="X7" s="11">
        <v>51293</v>
      </c>
      <c r="Y7" s="12">
        <v>15</v>
      </c>
      <c r="Z7" s="13">
        <v>-30943</v>
      </c>
      <c r="AA7" s="14">
        <v>-0.60325970405318463</v>
      </c>
      <c r="AB7" s="11"/>
      <c r="AC7" s="12"/>
      <c r="AD7" s="13"/>
      <c r="AE7" s="14"/>
      <c r="AF7" s="11">
        <v>719250</v>
      </c>
      <c r="AG7" s="12">
        <v>1050</v>
      </c>
      <c r="AH7" s="15">
        <v>679470</v>
      </c>
      <c r="AI7" s="14">
        <v>0.94469999999999998</v>
      </c>
      <c r="AJ7" s="11">
        <f t="shared" si="4"/>
        <v>4997760</v>
      </c>
      <c r="AK7" s="12">
        <f t="shared" si="5"/>
        <v>7296</v>
      </c>
      <c r="AL7" s="15">
        <f t="shared" si="6"/>
        <v>-153874</v>
      </c>
      <c r="AM7" s="14">
        <f t="shared" si="7"/>
        <v>-3.0788593289793827E-2</v>
      </c>
      <c r="AN7" s="11">
        <f t="shared" si="8"/>
        <v>1695600</v>
      </c>
      <c r="AO7" s="12">
        <f t="shared" si="0"/>
        <v>1186</v>
      </c>
      <c r="AP7" s="15">
        <f t="shared" si="1"/>
        <v>-492008</v>
      </c>
      <c r="AQ7" s="14">
        <f t="shared" si="9"/>
        <v>-0.29016749233309741</v>
      </c>
      <c r="AR7" s="11">
        <f t="shared" si="10"/>
        <v>9476967</v>
      </c>
      <c r="AS7" s="12">
        <f t="shared" si="2"/>
        <v>801</v>
      </c>
      <c r="AT7" s="15">
        <f t="shared" si="3"/>
        <v>454218</v>
      </c>
      <c r="AU7" s="14">
        <f t="shared" si="11"/>
        <v>4.7928625265868288E-2</v>
      </c>
    </row>
    <row r="8" spans="2:47" x14ac:dyDescent="0.3">
      <c r="B8" t="s">
        <v>17</v>
      </c>
      <c r="C8" s="5">
        <v>45870</v>
      </c>
      <c r="D8" s="11">
        <v>1604400</v>
      </c>
      <c r="E8" s="12">
        <v>1137</v>
      </c>
      <c r="F8" s="13">
        <v>551748</v>
      </c>
      <c r="G8" s="14">
        <v>0.34389678384442784</v>
      </c>
      <c r="H8" s="11">
        <v>362000</v>
      </c>
      <c r="I8" s="12">
        <v>181</v>
      </c>
      <c r="J8" s="13">
        <v>-8430</v>
      </c>
      <c r="K8" s="14">
        <v>-2.3287292817679557E-2</v>
      </c>
      <c r="L8" s="11">
        <v>1737950</v>
      </c>
      <c r="M8" s="12">
        <v>677</v>
      </c>
      <c r="N8" s="13">
        <v>940866</v>
      </c>
      <c r="O8" s="14">
        <v>0.54136540176644898</v>
      </c>
      <c r="P8" s="11">
        <v>603362</v>
      </c>
      <c r="Q8" s="12">
        <v>333</v>
      </c>
      <c r="R8" s="13">
        <v>379404</v>
      </c>
      <c r="S8" s="14">
        <v>0.62881653136922777</v>
      </c>
      <c r="T8" s="11">
        <v>6014300</v>
      </c>
      <c r="U8" s="12">
        <v>8780</v>
      </c>
      <c r="V8" s="13">
        <v>1120853</v>
      </c>
      <c r="W8" s="14">
        <v>0.18636466421694961</v>
      </c>
      <c r="X8" s="11">
        <v>132729</v>
      </c>
      <c r="Y8" s="12">
        <v>37</v>
      </c>
      <c r="Z8" s="13">
        <v>16247</v>
      </c>
      <c r="AA8" s="14">
        <v>0.12240731113773178</v>
      </c>
      <c r="AB8" s="11"/>
      <c r="AC8" s="12"/>
      <c r="AD8" s="13"/>
      <c r="AE8" s="14"/>
      <c r="AF8" s="11">
        <v>588415</v>
      </c>
      <c r="AG8" s="12">
        <v>859</v>
      </c>
      <c r="AH8" s="15">
        <v>506470</v>
      </c>
      <c r="AI8" s="14">
        <v>0.86070000000000002</v>
      </c>
      <c r="AJ8" s="11">
        <f t="shared" si="4"/>
        <v>5425885</v>
      </c>
      <c r="AK8" s="12">
        <f t="shared" si="5"/>
        <v>7921</v>
      </c>
      <c r="AL8" s="15">
        <f t="shared" si="6"/>
        <v>614383</v>
      </c>
      <c r="AM8" s="14">
        <f t="shared" si="7"/>
        <v>0.11323185065662099</v>
      </c>
      <c r="AN8" s="11">
        <f t="shared" si="8"/>
        <v>1966400</v>
      </c>
      <c r="AO8" s="12">
        <f t="shared" si="0"/>
        <v>1318</v>
      </c>
      <c r="AP8" s="15">
        <f t="shared" si="1"/>
        <v>543318</v>
      </c>
      <c r="AQ8" s="14">
        <f t="shared" si="9"/>
        <v>0.27630085435313262</v>
      </c>
      <c r="AR8" s="11">
        <f t="shared" si="10"/>
        <v>10454741</v>
      </c>
      <c r="AS8" s="12">
        <f t="shared" si="2"/>
        <v>858</v>
      </c>
      <c r="AT8" s="15">
        <f t="shared" si="3"/>
        <v>932436</v>
      </c>
      <c r="AU8" s="14">
        <f t="shared" si="11"/>
        <v>8.9187862233985518E-2</v>
      </c>
    </row>
    <row r="9" spans="2:47" x14ac:dyDescent="0.3">
      <c r="B9" t="s">
        <v>17</v>
      </c>
      <c r="C9" s="5">
        <v>45901</v>
      </c>
      <c r="D9" s="11">
        <v>2398200</v>
      </c>
      <c r="E9" s="12">
        <v>1723</v>
      </c>
      <c r="F9" s="13">
        <v>1003774</v>
      </c>
      <c r="G9" s="14">
        <v>0.41855308147777498</v>
      </c>
      <c r="H9" s="11">
        <v>680000</v>
      </c>
      <c r="I9" s="12">
        <v>340</v>
      </c>
      <c r="J9" s="13">
        <v>497718</v>
      </c>
      <c r="K9" s="14">
        <v>0.73193823529411761</v>
      </c>
      <c r="L9" s="11">
        <v>2070115</v>
      </c>
      <c r="M9" s="12">
        <v>793</v>
      </c>
      <c r="N9" s="13">
        <v>1249395</v>
      </c>
      <c r="O9" s="14">
        <v>0.6035389338273478</v>
      </c>
      <c r="P9" s="11">
        <v>533106</v>
      </c>
      <c r="Q9" s="12">
        <v>298</v>
      </c>
      <c r="R9" s="13">
        <v>59031</v>
      </c>
      <c r="S9" s="14">
        <v>0.11073032380051998</v>
      </c>
      <c r="T9" s="11">
        <v>6477360</v>
      </c>
      <c r="U9" s="12">
        <v>9456</v>
      </c>
      <c r="V9" s="13">
        <v>1380562</v>
      </c>
      <c r="W9" s="14">
        <v>0.21313652475699976</v>
      </c>
      <c r="X9" s="11">
        <v>120580</v>
      </c>
      <c r="Y9" s="12">
        <v>34</v>
      </c>
      <c r="Z9" s="13">
        <v>38820</v>
      </c>
      <c r="AA9" s="14">
        <v>0.32194393763476531</v>
      </c>
      <c r="AB9" s="11"/>
      <c r="AC9" s="12"/>
      <c r="AD9" s="13"/>
      <c r="AE9" s="14"/>
      <c r="AF9" s="11">
        <v>699385</v>
      </c>
      <c r="AG9" s="12">
        <v>1021</v>
      </c>
      <c r="AH9" s="15">
        <v>507345</v>
      </c>
      <c r="AI9" s="14">
        <v>0.72540000000000004</v>
      </c>
      <c r="AJ9" s="11">
        <f t="shared" si="4"/>
        <v>5777975</v>
      </c>
      <c r="AK9" s="12">
        <f t="shared" si="5"/>
        <v>8435</v>
      </c>
      <c r="AL9" s="15">
        <f t="shared" si="6"/>
        <v>873217</v>
      </c>
      <c r="AM9" s="14">
        <f t="shared" si="7"/>
        <v>0.15112855282343729</v>
      </c>
      <c r="AN9" s="11">
        <f t="shared" si="8"/>
        <v>3078200</v>
      </c>
      <c r="AO9" s="12">
        <f t="shared" si="0"/>
        <v>2063</v>
      </c>
      <c r="AP9" s="15">
        <f t="shared" si="1"/>
        <v>1501492</v>
      </c>
      <c r="AQ9" s="14">
        <f t="shared" si="9"/>
        <v>0.48778247027483596</v>
      </c>
      <c r="AR9" s="11">
        <f t="shared" si="10"/>
        <v>12279361</v>
      </c>
      <c r="AS9" s="12">
        <f t="shared" si="2"/>
        <v>1133</v>
      </c>
      <c r="AT9" s="15">
        <f t="shared" si="3"/>
        <v>1747113</v>
      </c>
      <c r="AU9" s="14">
        <f t="shared" si="11"/>
        <v>0.14228044928396519</v>
      </c>
    </row>
    <row r="10" spans="2:47" x14ac:dyDescent="0.3">
      <c r="B10" t="s">
        <v>17</v>
      </c>
      <c r="C10" s="5">
        <v>45931</v>
      </c>
      <c r="D10" s="11">
        <v>5187960</v>
      </c>
      <c r="E10" s="12">
        <v>3482</v>
      </c>
      <c r="F10" s="13">
        <v>3751790</v>
      </c>
      <c r="G10" s="14">
        <v>0.72317249940246264</v>
      </c>
      <c r="H10" s="11">
        <v>996000</v>
      </c>
      <c r="I10" s="12">
        <v>498</v>
      </c>
      <c r="J10" s="13">
        <v>702397</v>
      </c>
      <c r="K10" s="14">
        <v>0.70521787148594373</v>
      </c>
      <c r="L10" s="11">
        <v>2523157</v>
      </c>
      <c r="M10" s="12">
        <v>995</v>
      </c>
      <c r="N10" s="13">
        <v>1679672</v>
      </c>
      <c r="O10" s="14">
        <v>0.66570253059956241</v>
      </c>
      <c r="P10" s="11">
        <v>425000</v>
      </c>
      <c r="Q10" s="12">
        <v>250</v>
      </c>
      <c r="R10" s="13">
        <v>172586</v>
      </c>
      <c r="S10" s="14">
        <v>0.40608470588235296</v>
      </c>
      <c r="T10" s="11">
        <v>14304855</v>
      </c>
      <c r="U10" s="12">
        <v>20883</v>
      </c>
      <c r="V10" s="13">
        <v>9204064</v>
      </c>
      <c r="W10" s="14">
        <v>0.6434223905100751</v>
      </c>
      <c r="X10" s="11">
        <v>283316</v>
      </c>
      <c r="Y10" s="12">
        <v>80</v>
      </c>
      <c r="Z10" s="13">
        <v>200371</v>
      </c>
      <c r="AA10" s="14">
        <v>0.70723503084894601</v>
      </c>
      <c r="AB10" s="11">
        <v>260614</v>
      </c>
      <c r="AC10" s="12">
        <v>74</v>
      </c>
      <c r="AD10" s="13">
        <v>188399</v>
      </c>
      <c r="AE10" s="14">
        <v>0.7229043719830861</v>
      </c>
      <c r="AF10" s="11">
        <v>773365</v>
      </c>
      <c r="AG10" s="12">
        <v>1129</v>
      </c>
      <c r="AH10" s="15">
        <v>654965</v>
      </c>
      <c r="AI10" s="14">
        <v>0.84689999999999999</v>
      </c>
      <c r="AJ10" s="11">
        <f t="shared" si="4"/>
        <v>13531490</v>
      </c>
      <c r="AK10" s="12">
        <f t="shared" si="5"/>
        <v>19754</v>
      </c>
      <c r="AL10" s="15">
        <f t="shared" si="6"/>
        <v>8549099</v>
      </c>
      <c r="AM10" s="14">
        <f t="shared" si="7"/>
        <v>0.63179287720716637</v>
      </c>
      <c r="AN10" s="11">
        <f t="shared" si="8"/>
        <v>6183960</v>
      </c>
      <c r="AO10" s="12">
        <f t="shared" si="0"/>
        <v>3980</v>
      </c>
      <c r="AP10" s="15">
        <f t="shared" si="1"/>
        <v>4454187</v>
      </c>
      <c r="AQ10" s="14">
        <f t="shared" si="9"/>
        <v>0.72028069392428151</v>
      </c>
      <c r="AR10" s="11">
        <f t="shared" si="10"/>
        <v>23980902</v>
      </c>
      <c r="AS10" s="12">
        <f t="shared" si="2"/>
        <v>1493</v>
      </c>
      <c r="AT10" s="15">
        <f t="shared" si="3"/>
        <v>2382069</v>
      </c>
      <c r="AU10" s="14">
        <f t="shared" si="11"/>
        <v>9.9331918374046146E-2</v>
      </c>
    </row>
    <row r="11" spans="2:47" x14ac:dyDescent="0.3">
      <c r="B11" t="s">
        <v>17</v>
      </c>
      <c r="C11" s="5">
        <v>45962</v>
      </c>
      <c r="D11" s="11">
        <v>1930000</v>
      </c>
      <c r="E11" s="12">
        <v>1366</v>
      </c>
      <c r="F11" s="13">
        <v>840706</v>
      </c>
      <c r="G11" s="14">
        <v>0.43559896373056994</v>
      </c>
      <c r="H11" s="11">
        <v>598000</v>
      </c>
      <c r="I11" s="12">
        <v>299</v>
      </c>
      <c r="J11" s="13">
        <v>443772</v>
      </c>
      <c r="K11" s="14">
        <v>0.74209364548494983</v>
      </c>
      <c r="L11" s="11">
        <v>1580273</v>
      </c>
      <c r="M11" s="12">
        <v>626</v>
      </c>
      <c r="N11" s="13">
        <v>576685</v>
      </c>
      <c r="O11" s="14">
        <v>0.36492745240853952</v>
      </c>
      <c r="P11" s="11">
        <v>170908</v>
      </c>
      <c r="Q11" s="12">
        <v>102</v>
      </c>
      <c r="R11" s="13">
        <v>-55674</v>
      </c>
      <c r="S11" s="14">
        <v>-0.32575420694174645</v>
      </c>
      <c r="T11" s="11">
        <v>7541850</v>
      </c>
      <c r="U11" s="12">
        <v>11010</v>
      </c>
      <c r="V11" s="13">
        <v>3545665</v>
      </c>
      <c r="W11" s="14">
        <v>0.47013199679123824</v>
      </c>
      <c r="X11" s="11">
        <v>82186</v>
      </c>
      <c r="Y11" s="12">
        <v>23</v>
      </c>
      <c r="Z11" s="13">
        <v>10393</v>
      </c>
      <c r="AA11" s="14">
        <v>0.12645706081327721</v>
      </c>
      <c r="AB11" s="11">
        <v>321497</v>
      </c>
      <c r="AC11" s="12">
        <v>67</v>
      </c>
      <c r="AD11" s="13">
        <v>166143</v>
      </c>
      <c r="AE11" s="14">
        <v>0.51677931675878774</v>
      </c>
      <c r="AF11" s="11">
        <v>598005</v>
      </c>
      <c r="AG11" s="12">
        <v>873</v>
      </c>
      <c r="AH11" s="15">
        <v>530887</v>
      </c>
      <c r="AI11" s="14">
        <v>0.88780000000000003</v>
      </c>
      <c r="AJ11" s="11">
        <f t="shared" si="4"/>
        <v>6943845</v>
      </c>
      <c r="AK11" s="12">
        <f t="shared" si="5"/>
        <v>10137</v>
      </c>
      <c r="AL11" s="15">
        <f t="shared" si="6"/>
        <v>3014778</v>
      </c>
      <c r="AM11" s="14">
        <f t="shared" si="7"/>
        <v>0.43416550916675128</v>
      </c>
      <c r="AN11" s="11">
        <f t="shared" si="8"/>
        <v>2528000</v>
      </c>
      <c r="AO11" s="12">
        <f t="shared" si="0"/>
        <v>1665</v>
      </c>
      <c r="AP11" s="15">
        <f t="shared" si="1"/>
        <v>1284478</v>
      </c>
      <c r="AQ11" s="14">
        <f t="shared" si="9"/>
        <v>0.50810047468354436</v>
      </c>
      <c r="AR11" s="11">
        <f t="shared" si="10"/>
        <v>12224714</v>
      </c>
      <c r="AS11" s="12">
        <f t="shared" si="2"/>
        <v>925</v>
      </c>
      <c r="AT11" s="15">
        <f t="shared" si="3"/>
        <v>1020457</v>
      </c>
      <c r="AU11" s="14">
        <f t="shared" si="11"/>
        <v>8.3474918104423548E-2</v>
      </c>
    </row>
    <row r="12" spans="2:47" x14ac:dyDescent="0.3">
      <c r="B12" t="s">
        <v>17</v>
      </c>
      <c r="C12" s="5">
        <v>45992</v>
      </c>
      <c r="D12" s="11">
        <v>1744600</v>
      </c>
      <c r="E12" s="12">
        <v>1243</v>
      </c>
      <c r="F12" s="13">
        <v>341315</v>
      </c>
      <c r="G12" s="14">
        <v>0.1956408345752608</v>
      </c>
      <c r="H12" s="11">
        <v>412000</v>
      </c>
      <c r="I12" s="12">
        <v>206</v>
      </c>
      <c r="J12" s="13">
        <v>113696</v>
      </c>
      <c r="K12" s="14">
        <v>0.27596116504854368</v>
      </c>
      <c r="L12" s="11">
        <v>1897696</v>
      </c>
      <c r="M12" s="12">
        <v>728</v>
      </c>
      <c r="N12" s="13">
        <v>873822</v>
      </c>
      <c r="O12" s="14">
        <v>0.46046468981333155</v>
      </c>
      <c r="P12" s="11">
        <v>139416</v>
      </c>
      <c r="Q12" s="12">
        <v>84</v>
      </c>
      <c r="R12" s="13">
        <v>-178255</v>
      </c>
      <c r="S12" s="14">
        <v>-1.278583519825558</v>
      </c>
      <c r="T12" s="11">
        <v>4676495</v>
      </c>
      <c r="U12" s="12">
        <v>6827</v>
      </c>
      <c r="V12" s="13">
        <v>458147</v>
      </c>
      <c r="W12" s="14">
        <v>9.7968029475066262E-2</v>
      </c>
      <c r="X12" s="11">
        <v>42880</v>
      </c>
      <c r="Y12" s="12">
        <v>12</v>
      </c>
      <c r="Z12" s="13">
        <v>-15432</v>
      </c>
      <c r="AA12" s="14">
        <v>-0.35988805970149251</v>
      </c>
      <c r="AB12" s="11">
        <v>312004</v>
      </c>
      <c r="AC12" s="12">
        <v>64</v>
      </c>
      <c r="AD12" s="13">
        <v>180727</v>
      </c>
      <c r="AE12" s="14">
        <v>0.57924577890027051</v>
      </c>
      <c r="AF12" s="11">
        <v>443880</v>
      </c>
      <c r="AG12" s="12">
        <v>648</v>
      </c>
      <c r="AH12" s="15">
        <v>379957</v>
      </c>
      <c r="AI12" s="14">
        <v>0.85599999999999998</v>
      </c>
      <c r="AJ12" s="11">
        <f t="shared" si="4"/>
        <v>4232615</v>
      </c>
      <c r="AK12" s="12">
        <f t="shared" si="5"/>
        <v>6179</v>
      </c>
      <c r="AL12" s="15">
        <f t="shared" si="6"/>
        <v>78190</v>
      </c>
      <c r="AM12" s="14">
        <f t="shared" si="7"/>
        <v>1.8473213368095136E-2</v>
      </c>
      <c r="AN12" s="11">
        <f t="shared" si="8"/>
        <v>2156600</v>
      </c>
      <c r="AO12" s="12">
        <f t="shared" si="0"/>
        <v>1449</v>
      </c>
      <c r="AP12" s="15">
        <f t="shared" si="1"/>
        <v>455011</v>
      </c>
      <c r="AQ12" s="14">
        <f t="shared" si="9"/>
        <v>0.21098534730594454</v>
      </c>
      <c r="AR12" s="11">
        <f t="shared" si="10"/>
        <v>9225091</v>
      </c>
      <c r="AS12" s="12">
        <f t="shared" si="2"/>
        <v>934</v>
      </c>
      <c r="AT12" s="15">
        <f t="shared" si="3"/>
        <v>987518</v>
      </c>
      <c r="AU12" s="14">
        <f t="shared" si="11"/>
        <v>0.10704696571556856</v>
      </c>
    </row>
    <row r="13" spans="2:47" x14ac:dyDescent="0.3">
      <c r="B13" t="s">
        <v>17</v>
      </c>
      <c r="C13" s="5">
        <v>46023</v>
      </c>
      <c r="D13" s="11">
        <v>3090200</v>
      </c>
      <c r="E13" s="12">
        <v>2147</v>
      </c>
      <c r="F13" s="13">
        <v>1764250</v>
      </c>
      <c r="G13" s="14">
        <v>0.57091773995210671</v>
      </c>
      <c r="H13" s="11">
        <v>844000</v>
      </c>
      <c r="I13" s="12">
        <v>422</v>
      </c>
      <c r="J13" s="13">
        <v>371198</v>
      </c>
      <c r="K13" s="14">
        <v>0.43980805687203789</v>
      </c>
      <c r="L13" s="11">
        <v>1956262</v>
      </c>
      <c r="M13" s="12">
        <v>756</v>
      </c>
      <c r="N13" s="13">
        <v>641219</v>
      </c>
      <c r="O13" s="14">
        <v>0.32777766986221685</v>
      </c>
      <c r="P13" s="11">
        <v>179623</v>
      </c>
      <c r="Q13" s="12">
        <v>106</v>
      </c>
      <c r="R13" s="13">
        <v>-248108</v>
      </c>
      <c r="S13" s="14">
        <v>-1.381270772673878</v>
      </c>
      <c r="T13" s="11">
        <v>5205315</v>
      </c>
      <c r="U13" s="12">
        <v>7599</v>
      </c>
      <c r="V13" s="13">
        <v>985413</v>
      </c>
      <c r="W13" s="14">
        <v>0.18930900435420334</v>
      </c>
      <c r="X13" s="11">
        <v>73193</v>
      </c>
      <c r="Y13" s="12">
        <v>21</v>
      </c>
      <c r="Z13" s="13">
        <v>19729</v>
      </c>
      <c r="AA13" s="14">
        <v>0.26954763433661688</v>
      </c>
      <c r="AB13" s="11">
        <v>334250</v>
      </c>
      <c r="AC13" s="12">
        <v>70</v>
      </c>
      <c r="AD13" s="13">
        <v>213373</v>
      </c>
      <c r="AE13" s="14">
        <v>0.6383635003739716</v>
      </c>
      <c r="AF13" s="11">
        <v>497995</v>
      </c>
      <c r="AG13" s="12">
        <v>727</v>
      </c>
      <c r="AH13" s="15">
        <v>435932</v>
      </c>
      <c r="AI13" s="14">
        <v>0.87539999999999996</v>
      </c>
      <c r="AJ13" s="11">
        <f t="shared" si="4"/>
        <v>4707320</v>
      </c>
      <c r="AK13" s="12">
        <f t="shared" si="5"/>
        <v>6872</v>
      </c>
      <c r="AL13" s="15">
        <f t="shared" si="6"/>
        <v>549481</v>
      </c>
      <c r="AM13" s="14">
        <f t="shared" si="7"/>
        <v>0.11672905177468283</v>
      </c>
      <c r="AN13" s="11">
        <f t="shared" si="8"/>
        <v>3934200</v>
      </c>
      <c r="AO13" s="12">
        <f t="shared" si="0"/>
        <v>2569</v>
      </c>
      <c r="AP13" s="15">
        <f t="shared" si="1"/>
        <v>2135448</v>
      </c>
      <c r="AQ13" s="14">
        <f t="shared" si="9"/>
        <v>0.5427909104773524</v>
      </c>
      <c r="AR13" s="11">
        <f t="shared" si="10"/>
        <v>11682843</v>
      </c>
      <c r="AS13" s="12">
        <f t="shared" si="2"/>
        <v>1178</v>
      </c>
      <c r="AT13" s="15">
        <f t="shared" si="3"/>
        <v>1012417</v>
      </c>
      <c r="AU13" s="14">
        <f t="shared" si="11"/>
        <v>8.6658444352971278E-2</v>
      </c>
    </row>
    <row r="14" spans="2:47" x14ac:dyDescent="0.3">
      <c r="B14" t="s">
        <v>17</v>
      </c>
      <c r="C14" s="5">
        <v>46054</v>
      </c>
      <c r="D14" s="11">
        <v>2104200</v>
      </c>
      <c r="E14" s="12">
        <v>1495</v>
      </c>
      <c r="F14" s="13">
        <v>1158954</v>
      </c>
      <c r="G14" s="14">
        <v>0.55078129455374969</v>
      </c>
      <c r="H14" s="11">
        <v>872000</v>
      </c>
      <c r="I14" s="12">
        <v>436</v>
      </c>
      <c r="J14" s="13">
        <v>419018</v>
      </c>
      <c r="K14" s="14">
        <v>0.48052522935779818</v>
      </c>
      <c r="L14" s="11">
        <v>1959655</v>
      </c>
      <c r="M14" s="12">
        <v>759</v>
      </c>
      <c r="N14" s="13">
        <v>809243</v>
      </c>
      <c r="O14" s="14">
        <v>0.41295176957168483</v>
      </c>
      <c r="P14" s="11">
        <v>68692</v>
      </c>
      <c r="Q14" s="12">
        <v>41</v>
      </c>
      <c r="R14" s="13">
        <v>-400569</v>
      </c>
      <c r="S14" s="14">
        <v>-5.8313777441332322</v>
      </c>
      <c r="T14" s="11">
        <v>5582065</v>
      </c>
      <c r="U14" s="12">
        <v>8149</v>
      </c>
      <c r="V14" s="13">
        <v>642141</v>
      </c>
      <c r="W14" s="14">
        <v>0.11503646052133037</v>
      </c>
      <c r="X14" s="11">
        <v>64342</v>
      </c>
      <c r="Y14" s="12">
        <v>18</v>
      </c>
      <c r="Z14" s="13">
        <v>22779</v>
      </c>
      <c r="AA14" s="14">
        <v>0.35403002704298903</v>
      </c>
      <c r="AB14" s="11">
        <v>344023</v>
      </c>
      <c r="AC14" s="12">
        <v>73</v>
      </c>
      <c r="AD14" s="13">
        <v>257838</v>
      </c>
      <c r="AE14" s="14">
        <v>0.74947895925563113</v>
      </c>
      <c r="AF14" s="11">
        <v>530875</v>
      </c>
      <c r="AG14" s="12">
        <v>775</v>
      </c>
      <c r="AH14" s="15">
        <v>414258</v>
      </c>
      <c r="AI14" s="14">
        <v>0.78029999999999999</v>
      </c>
      <c r="AJ14" s="11">
        <f t="shared" si="4"/>
        <v>5051190</v>
      </c>
      <c r="AK14" s="12">
        <f t="shared" si="5"/>
        <v>7374</v>
      </c>
      <c r="AL14" s="15">
        <f t="shared" si="6"/>
        <v>227883</v>
      </c>
      <c r="AM14" s="14">
        <f t="shared" si="7"/>
        <v>4.511471554227816E-2</v>
      </c>
      <c r="AN14" s="11">
        <f t="shared" si="8"/>
        <v>2976200</v>
      </c>
      <c r="AO14" s="12">
        <f t="shared" si="0"/>
        <v>1931</v>
      </c>
      <c r="AP14" s="15">
        <f t="shared" si="1"/>
        <v>1577972</v>
      </c>
      <c r="AQ14" s="14">
        <f t="shared" si="9"/>
        <v>0.53019689536993486</v>
      </c>
      <c r="AR14" s="11">
        <f t="shared" si="10"/>
        <v>10994977</v>
      </c>
      <c r="AS14" s="12">
        <f t="shared" si="2"/>
        <v>1195</v>
      </c>
      <c r="AT14" s="15">
        <f t="shared" si="3"/>
        <v>1228261</v>
      </c>
      <c r="AU14" s="14">
        <f t="shared" si="11"/>
        <v>0.111711102260605</v>
      </c>
    </row>
    <row r="15" spans="2:47" x14ac:dyDescent="0.3">
      <c r="B15" t="s">
        <v>17</v>
      </c>
      <c r="C15" s="5">
        <v>46082</v>
      </c>
      <c r="D15" s="11">
        <v>2275003</v>
      </c>
      <c r="E15" s="12">
        <v>1574</v>
      </c>
      <c r="F15" s="13">
        <v>1096766</v>
      </c>
      <c r="G15" s="14">
        <v>0.48209430932618552</v>
      </c>
      <c r="H15" s="11">
        <v>1724000</v>
      </c>
      <c r="I15" s="12">
        <v>862</v>
      </c>
      <c r="J15" s="13">
        <v>994088</v>
      </c>
      <c r="K15" s="14">
        <v>0.5766171693735499</v>
      </c>
      <c r="L15" s="11">
        <v>4199613</v>
      </c>
      <c r="M15" s="12">
        <v>1658</v>
      </c>
      <c r="N15" s="13">
        <v>2836092</v>
      </c>
      <c r="O15" s="14">
        <v>0.67532222611940673</v>
      </c>
      <c r="P15" s="11">
        <v>198424</v>
      </c>
      <c r="Q15" s="12">
        <v>121</v>
      </c>
      <c r="R15" s="13">
        <v>-228678</v>
      </c>
      <c r="S15" s="14">
        <v>-1.1524714752247711</v>
      </c>
      <c r="T15" s="11">
        <v>5868395</v>
      </c>
      <c r="U15" s="12">
        <v>8567</v>
      </c>
      <c r="V15" s="13">
        <v>1298624</v>
      </c>
      <c r="W15" s="14">
        <v>0.22129117075452487</v>
      </c>
      <c r="X15" s="11">
        <v>135433</v>
      </c>
      <c r="Y15" s="12">
        <v>38</v>
      </c>
      <c r="Z15" s="13">
        <v>103161</v>
      </c>
      <c r="AA15" s="14">
        <v>0.76171243345418027</v>
      </c>
      <c r="AB15" s="11">
        <v>319415</v>
      </c>
      <c r="AC15" s="12">
        <v>66</v>
      </c>
      <c r="AD15" s="13">
        <v>232511</v>
      </c>
      <c r="AE15" s="14">
        <v>0.72792761767606406</v>
      </c>
      <c r="AF15" s="11">
        <v>695960</v>
      </c>
      <c r="AG15" s="12">
        <v>1016</v>
      </c>
      <c r="AH15" s="15">
        <v>230233</v>
      </c>
      <c r="AI15" s="14">
        <v>0.33079999999999998</v>
      </c>
      <c r="AJ15" s="11">
        <f t="shared" si="4"/>
        <v>5172435</v>
      </c>
      <c r="AK15" s="12">
        <f t="shared" si="5"/>
        <v>7551</v>
      </c>
      <c r="AL15" s="15">
        <f t="shared" si="6"/>
        <v>1068391</v>
      </c>
      <c r="AM15" s="14">
        <f t="shared" si="7"/>
        <v>0.20655474645887284</v>
      </c>
      <c r="AN15" s="11">
        <f t="shared" si="8"/>
        <v>3999003</v>
      </c>
      <c r="AO15" s="12">
        <f t="shared" si="0"/>
        <v>2436</v>
      </c>
      <c r="AP15" s="15">
        <f t="shared" si="1"/>
        <v>2090854</v>
      </c>
      <c r="AQ15" s="14">
        <f t="shared" si="9"/>
        <v>0.52284381882184139</v>
      </c>
      <c r="AR15" s="11">
        <f t="shared" si="10"/>
        <v>14720283</v>
      </c>
      <c r="AS15" s="12">
        <f t="shared" si="2"/>
        <v>2520</v>
      </c>
      <c r="AT15" s="15">
        <f t="shared" si="3"/>
        <v>3830180</v>
      </c>
      <c r="AU15" s="14">
        <f t="shared" si="11"/>
        <v>0.26019744321491645</v>
      </c>
    </row>
    <row r="16" spans="2:47" x14ac:dyDescent="0.3">
      <c r="B16" t="s">
        <v>18</v>
      </c>
      <c r="C16" s="5">
        <v>46113</v>
      </c>
      <c r="D16" s="11">
        <v>1689000</v>
      </c>
      <c r="E16" s="12">
        <v>1187</v>
      </c>
      <c r="F16" s="13">
        <v>506504</v>
      </c>
      <c r="G16" s="14">
        <v>0.29988395500296033</v>
      </c>
      <c r="H16" s="11">
        <v>1178000</v>
      </c>
      <c r="I16" s="12">
        <v>589</v>
      </c>
      <c r="J16" s="13">
        <v>667911</v>
      </c>
      <c r="K16" s="14">
        <v>0.56698726655348053</v>
      </c>
      <c r="L16" s="11">
        <v>2537505</v>
      </c>
      <c r="M16" s="12">
        <v>926</v>
      </c>
      <c r="N16" s="13">
        <v>1700065</v>
      </c>
      <c r="O16" s="14">
        <v>0.66997503453195162</v>
      </c>
      <c r="P16" s="11">
        <v>209450</v>
      </c>
      <c r="Q16" s="12">
        <v>131</v>
      </c>
      <c r="R16" s="13">
        <v>-216961</v>
      </c>
      <c r="S16" s="14">
        <v>-1.0358605872523274</v>
      </c>
      <c r="T16" s="11">
        <v>5971825</v>
      </c>
      <c r="U16" s="12">
        <v>8237</v>
      </c>
      <c r="V16" s="13">
        <v>1371673</v>
      </c>
      <c r="W16" s="14">
        <v>0.22969999999999999</v>
      </c>
      <c r="X16" s="11">
        <v>77992</v>
      </c>
      <c r="Y16" s="12">
        <v>22</v>
      </c>
      <c r="Z16" s="13">
        <v>47699</v>
      </c>
      <c r="AA16" s="14">
        <v>0.61158836803774741</v>
      </c>
      <c r="AB16" s="11">
        <v>144452</v>
      </c>
      <c r="AC16" s="12">
        <v>50</v>
      </c>
      <c r="AD16" s="13">
        <v>42110</v>
      </c>
      <c r="AE16" s="14">
        <v>0.29151552072660813</v>
      </c>
      <c r="AF16" s="11">
        <f>AG16*725</f>
        <v>875075</v>
      </c>
      <c r="AG16" s="12">
        <v>1207</v>
      </c>
      <c r="AH16" s="15">
        <v>537374</v>
      </c>
      <c r="AI16" s="14">
        <v>0.64990000000000003</v>
      </c>
      <c r="AJ16" s="11">
        <f t="shared" si="4"/>
        <v>5096750</v>
      </c>
      <c r="AK16" s="12">
        <f t="shared" si="5"/>
        <v>7030</v>
      </c>
      <c r="AL16" s="15">
        <f t="shared" si="6"/>
        <v>834299</v>
      </c>
      <c r="AM16" s="14">
        <f t="shared" si="7"/>
        <v>0.16369235297002993</v>
      </c>
      <c r="AN16" s="11">
        <f t="shared" si="8"/>
        <v>2867000</v>
      </c>
      <c r="AO16" s="12">
        <f t="shared" si="0"/>
        <v>1776</v>
      </c>
      <c r="AP16" s="15">
        <f t="shared" si="1"/>
        <v>1174415</v>
      </c>
      <c r="AQ16" s="14">
        <f t="shared" si="9"/>
        <v>0.40963201953261247</v>
      </c>
      <c r="AR16" s="11">
        <f t="shared" si="10"/>
        <v>11808224</v>
      </c>
      <c r="AS16" s="12">
        <f t="shared" si="2"/>
        <v>1515</v>
      </c>
      <c r="AT16" s="15">
        <f t="shared" si="3"/>
        <v>2367976</v>
      </c>
      <c r="AU16" s="14">
        <f t="shared" si="11"/>
        <v>0.20053616869056684</v>
      </c>
    </row>
    <row r="17" spans="2:47" x14ac:dyDescent="0.3">
      <c r="B17" t="s">
        <v>18</v>
      </c>
      <c r="C17" s="5">
        <v>46143</v>
      </c>
      <c r="D17" s="11">
        <v>1192000</v>
      </c>
      <c r="E17" s="12">
        <v>836</v>
      </c>
      <c r="F17" s="13">
        <v>-196900</v>
      </c>
      <c r="G17" s="14">
        <v>-0.16518456375838927</v>
      </c>
      <c r="H17" s="11">
        <v>1316000</v>
      </c>
      <c r="I17" s="12">
        <v>658</v>
      </c>
      <c r="J17" s="13">
        <v>676790</v>
      </c>
      <c r="K17" s="14">
        <v>0.51427811550151981</v>
      </c>
      <c r="L17" s="11">
        <v>2873969</v>
      </c>
      <c r="M17" s="12">
        <v>1046</v>
      </c>
      <c r="N17" s="13">
        <v>1440036</v>
      </c>
      <c r="O17" s="14">
        <v>0.5010617720650431</v>
      </c>
      <c r="P17" s="11">
        <v>248454</v>
      </c>
      <c r="Q17" s="12">
        <v>150</v>
      </c>
      <c r="R17" s="13">
        <v>-119621</v>
      </c>
      <c r="S17" s="14">
        <v>-0.4814613570318852</v>
      </c>
      <c r="T17" s="11">
        <v>6006625</v>
      </c>
      <c r="U17" s="12">
        <v>8285</v>
      </c>
      <c r="V17" s="13">
        <v>866176</v>
      </c>
      <c r="W17" s="14">
        <v>0.14419999999999999</v>
      </c>
      <c r="X17" s="11">
        <v>45295</v>
      </c>
      <c r="Y17" s="12">
        <v>13</v>
      </c>
      <c r="Z17" s="13">
        <v>-5421</v>
      </c>
      <c r="AA17" s="14">
        <v>-0.1196820841152445</v>
      </c>
      <c r="AB17" s="11">
        <v>136037</v>
      </c>
      <c r="AC17" s="12">
        <v>47</v>
      </c>
      <c r="AD17" s="13">
        <v>35629</v>
      </c>
      <c r="AE17" s="14">
        <v>0.26190668715128973</v>
      </c>
      <c r="AF17" s="11">
        <f t="shared" ref="AF17:AF18" si="12">AG17*725</f>
        <v>876525</v>
      </c>
      <c r="AG17" s="12">
        <v>1209</v>
      </c>
      <c r="AH17" s="13">
        <v>287474</v>
      </c>
      <c r="AI17" s="14">
        <v>0.34710000000000002</v>
      </c>
      <c r="AJ17" s="11">
        <f t="shared" si="4"/>
        <v>5130100</v>
      </c>
      <c r="AK17" s="12">
        <f t="shared" si="5"/>
        <v>7076</v>
      </c>
      <c r="AL17" s="13">
        <f t="shared" si="6"/>
        <v>578702</v>
      </c>
      <c r="AM17" s="14">
        <f t="shared" si="7"/>
        <v>0.11280520847546831</v>
      </c>
      <c r="AN17" s="11">
        <f t="shared" si="8"/>
        <v>2508000</v>
      </c>
      <c r="AO17" s="12">
        <f t="shared" si="0"/>
        <v>1494</v>
      </c>
      <c r="AP17" s="13">
        <f t="shared" si="1"/>
        <v>479890</v>
      </c>
      <c r="AQ17" s="14">
        <f t="shared" si="9"/>
        <v>0.19134370015948962</v>
      </c>
      <c r="AR17" s="11">
        <f t="shared" si="10"/>
        <v>11818380</v>
      </c>
      <c r="AS17" s="12">
        <f t="shared" si="2"/>
        <v>1704</v>
      </c>
      <c r="AT17" s="13">
        <f t="shared" si="3"/>
        <v>2116826</v>
      </c>
      <c r="AU17" s="14">
        <f t="shared" si="11"/>
        <v>0.17911304256590158</v>
      </c>
    </row>
    <row r="18" spans="2:47" ht="15" thickBot="1" x14ac:dyDescent="0.35">
      <c r="B18" t="s">
        <v>18</v>
      </c>
      <c r="C18" s="16">
        <v>46174</v>
      </c>
      <c r="D18" s="17">
        <v>1287000</v>
      </c>
      <c r="E18" s="18">
        <v>923</v>
      </c>
      <c r="F18" s="19">
        <v>-463186</v>
      </c>
      <c r="G18" s="20">
        <v>-0.3598958818958819</v>
      </c>
      <c r="H18" s="17">
        <v>1294000</v>
      </c>
      <c r="I18" s="18">
        <v>647</v>
      </c>
      <c r="J18" s="19">
        <v>683434</v>
      </c>
      <c r="K18" s="20">
        <v>0.52815610510046362</v>
      </c>
      <c r="L18" s="17">
        <v>2895649</v>
      </c>
      <c r="M18" s="18">
        <v>1034</v>
      </c>
      <c r="N18" s="19">
        <v>2209549</v>
      </c>
      <c r="O18" s="20">
        <v>0.76305829884768495</v>
      </c>
      <c r="P18" s="17">
        <v>215779</v>
      </c>
      <c r="Q18" s="18">
        <v>128</v>
      </c>
      <c r="R18" s="19">
        <v>-181596.12016009999</v>
      </c>
      <c r="S18" s="20">
        <v>-0.84158384346993909</v>
      </c>
      <c r="T18" s="17">
        <v>6882425</v>
      </c>
      <c r="U18" s="18">
        <v>9493</v>
      </c>
      <c r="V18" s="19">
        <v>2091621</v>
      </c>
      <c r="W18" s="20">
        <v>0.3039</v>
      </c>
      <c r="X18" s="17">
        <v>106040</v>
      </c>
      <c r="Y18" s="18">
        <v>30</v>
      </c>
      <c r="Z18" s="19">
        <v>51715</v>
      </c>
      <c r="AA18" s="20">
        <v>0.48769332327423615</v>
      </c>
      <c r="AB18" s="17">
        <v>218125</v>
      </c>
      <c r="AC18" s="18">
        <v>74</v>
      </c>
      <c r="AD18" s="19">
        <v>101164</v>
      </c>
      <c r="AE18" s="20">
        <v>0.46378911174785098</v>
      </c>
      <c r="AF18" s="17">
        <f t="shared" si="12"/>
        <v>1178125</v>
      </c>
      <c r="AG18" s="18">
        <v>1625</v>
      </c>
      <c r="AH18" s="19">
        <v>989414</v>
      </c>
      <c r="AI18" s="20">
        <v>0.88890000000000002</v>
      </c>
      <c r="AJ18" s="17">
        <f t="shared" si="4"/>
        <v>5704300</v>
      </c>
      <c r="AK18" s="18">
        <f t="shared" si="5"/>
        <v>7868</v>
      </c>
      <c r="AL18" s="19">
        <f t="shared" si="6"/>
        <v>1102207</v>
      </c>
      <c r="AM18" s="20">
        <f t="shared" si="7"/>
        <v>0.19322388373683011</v>
      </c>
      <c r="AN18" s="17">
        <f t="shared" si="8"/>
        <v>2581000</v>
      </c>
      <c r="AO18" s="18">
        <f t="shared" si="0"/>
        <v>1570</v>
      </c>
      <c r="AP18" s="19">
        <f t="shared" si="1"/>
        <v>220248</v>
      </c>
      <c r="AQ18" s="20">
        <f t="shared" si="9"/>
        <v>8.533436652460287E-2</v>
      </c>
      <c r="AR18" s="17">
        <f t="shared" si="10"/>
        <v>12899018</v>
      </c>
      <c r="AS18" s="18">
        <f t="shared" si="2"/>
        <v>1681</v>
      </c>
      <c r="AT18" s="19">
        <f t="shared" si="3"/>
        <v>2892983</v>
      </c>
      <c r="AU18" s="20">
        <f t="shared" si="11"/>
        <v>0.22427932110800994</v>
      </c>
    </row>
  </sheetData>
  <mergeCells count="11">
    <mergeCell ref="X2:AA2"/>
    <mergeCell ref="D2:G2"/>
    <mergeCell ref="H2:K2"/>
    <mergeCell ref="L2:O2"/>
    <mergeCell ref="P2:S2"/>
    <mergeCell ref="T2:W2"/>
    <mergeCell ref="AJ2:AM2"/>
    <mergeCell ref="AN2:AQ2"/>
    <mergeCell ref="AR2:AU2"/>
    <mergeCell ref="AB2:AE2"/>
    <mergeCell ref="AF2:A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Satendra Baghel</dc:creator>
  <cp:lastModifiedBy>Satendra Baghel</cp:lastModifiedBy>
  <dcterms:created xsi:type="dcterms:W3CDTF">2026-08-03T13:33:44Z</dcterms:created>
  <dcterms:modified xsi:type="dcterms:W3CDTF">2026-08-05T05:55:08Z</dcterms:modified>
</cp:coreProperties>
</file>